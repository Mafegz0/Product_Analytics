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planeta-my.sharepoint.com/personal/umgz4a_psoplaneta_com/Documents/DATA/Analytics Projects/Product_Analytics/01_Business_Understanding/"/>
    </mc:Choice>
  </mc:AlternateContent>
  <xr:revisionPtr revIDLastSave="25" documentId="14_{508BBB18-27FD-432E-8AE1-2D355900285E}" xr6:coauthVersionLast="47" xr6:coauthVersionMax="47" xr10:uidLastSave="{2A13E868-2D1D-45F1-8AD2-BFA11DFE1C45}"/>
  <bookViews>
    <workbookView xWindow="28680" yWindow="-120" windowWidth="29040" windowHeight="15720" activeTab="1" xr2:uid="{F3905514-F28A-4C51-ACE5-B8311BBBF468}"/>
  </bookViews>
  <sheets>
    <sheet name="Escalas AMEF" sheetId="3" r:id="rId1"/>
    <sheet name="Matriz de Riesgos" sheetId="5" r:id="rId2"/>
  </sheets>
  <definedNames>
    <definedName name="_xlnm._FilterDatabase" localSheetId="1" hidden="1">'Matriz de Riesgos'!$C$4:$L$32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5" l="1"/>
  <c r="J32" i="5"/>
  <c r="J31" i="5"/>
  <c r="J30" i="5"/>
  <c r="J29" i="5"/>
  <c r="J28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</calcChain>
</file>

<file path=xl/sharedStrings.xml><?xml version="1.0" encoding="utf-8"?>
<sst xmlns="http://schemas.openxmlformats.org/spreadsheetml/2006/main" count="321" uniqueCount="238">
  <si>
    <t>Escalas para AMEF</t>
  </si>
  <si>
    <t>Severidad (Sev) — impacto</t>
  </si>
  <si>
    <t>Riesgo</t>
  </si>
  <si>
    <t>Valor RPN</t>
  </si>
  <si>
    <t>Valor</t>
  </si>
  <si>
    <t xml:space="preserve">Criterio </t>
  </si>
  <si>
    <t>Interpretación</t>
  </si>
  <si>
    <t>Alto</t>
  </si>
  <si>
    <t>500-1000</t>
  </si>
  <si>
    <t>Sin efectos percibidos</t>
  </si>
  <si>
    <t>No afecta el proyecto</t>
  </si>
  <si>
    <t>Medio</t>
  </si>
  <si>
    <t>125-499</t>
  </si>
  <si>
    <t>Muy pequeño</t>
  </si>
  <si>
    <t>Menos del 10 % del proceso afectado</t>
  </si>
  <si>
    <t>Bajo</t>
  </si>
  <si>
    <t>10-124</t>
  </si>
  <si>
    <t>Pequeño</t>
  </si>
  <si>
    <t>Menos del 25 % afectado</t>
  </si>
  <si>
    <t>Muy Bajo</t>
  </si>
  <si>
    <t>1-9</t>
  </si>
  <si>
    <t>Muy bajo</t>
  </si>
  <si>
    <t>Menos del 50 % afectado</t>
  </si>
  <si>
    <t>Menos del 75 % afectado, leve insatisfacción</t>
  </si>
  <si>
    <t>Moderado</t>
  </si>
  <si>
    <t>Más del 75 % afectado, bajo rendimiento</t>
  </si>
  <si>
    <t>Más del 90 % afectado, insatisfacción del cliente</t>
  </si>
  <si>
    <t>Muy alto</t>
  </si>
  <si>
    <t>Todo el proceso afectado, incumplimiento</t>
  </si>
  <si>
    <t>9 y10</t>
  </si>
  <si>
    <t>Peligroso</t>
  </si>
  <si>
    <t>Total incumplimiento, fallas críticas en otros procesos</t>
  </si>
  <si>
    <t>Ocurrencia (Oc) - Probabilidad</t>
  </si>
  <si>
    <t>Probabilidad estimada</t>
  </si>
  <si>
    <t>Criterio</t>
  </si>
  <si>
    <t>Imposible que ocurra</t>
  </si>
  <si>
    <t>&lt; 0.01 %</t>
  </si>
  <si>
    <t>Muy poco probable</t>
  </si>
  <si>
    <t>0.01 % – 0.03 %</t>
  </si>
  <si>
    <t>0.03 % – 0.1 %</t>
  </si>
  <si>
    <t>0.1 % – 0.3 %</t>
  </si>
  <si>
    <t>0.3 % – 1 %</t>
  </si>
  <si>
    <t>1 % – 3 %</t>
  </si>
  <si>
    <t>3 % – 10 %</t>
  </si>
  <si>
    <t>10 % – 30 %</t>
  </si>
  <si>
    <t>&gt; 30 %</t>
  </si>
  <si>
    <t>Extremo</t>
  </si>
  <si>
    <t>Detección (Det)</t>
  </si>
  <si>
    <t>Capacidad de detección</t>
  </si>
  <si>
    <t>Casi seguro (&gt; 99 %)</t>
  </si>
  <si>
    <t>Controles robustos y automatizados</t>
  </si>
  <si>
    <t>Muy alta (97.5 %)</t>
  </si>
  <si>
    <t>Se detecta siempre antes de liberar</t>
  </si>
  <si>
    <t>Alta (95 %)</t>
  </si>
  <si>
    <t>Error se detecta automáticamente</t>
  </si>
  <si>
    <t>Altamente moderada (92.5 %)</t>
  </si>
  <si>
    <t>Se detecta antes de finalizar</t>
  </si>
  <si>
    <t>Moderada (90 %)</t>
  </si>
  <si>
    <t>Se revisan la mayoría de requerimientos</t>
  </si>
  <si>
    <t>Baja (87.5 %)</t>
  </si>
  <si>
    <t>Controles flexibles o incompletos</t>
  </si>
  <si>
    <t>Muy baja (85 %)</t>
  </si>
  <si>
    <t>Solo doble revisión visual</t>
  </si>
  <si>
    <t>Remota (80 %)</t>
  </si>
  <si>
    <t>Controles limitados o manuales</t>
  </si>
  <si>
    <t>Muy remota (&lt; 70 %)</t>
  </si>
  <si>
    <t>Revisión al azar, poco sistemática</t>
  </si>
  <si>
    <t>Casi imposible</t>
  </si>
  <si>
    <t>No existen pruebas o controles</t>
  </si>
  <si>
    <t>Nombre del proyecto.</t>
  </si>
  <si>
    <t>Objetivo del proyecto:</t>
  </si>
  <si>
    <t>Factor de riesgo NIVEL 1</t>
  </si>
  <si>
    <t>Factor de riesgo NIVEL 2</t>
  </si>
  <si>
    <t>Factor de riesgo</t>
  </si>
  <si>
    <t>Potenciales Efectos de la Falla</t>
  </si>
  <si>
    <t>Sev. (0-1)</t>
  </si>
  <si>
    <t xml:space="preserve">Causa Potencial </t>
  </si>
  <si>
    <t>Oc. (0-1)</t>
  </si>
  <si>
    <t>Controles Proceso</t>
  </si>
  <si>
    <t>Det. (0-1)</t>
  </si>
  <si>
    <t>Índice de prioridad del riesgo
RPN= Sev*Oc*Det</t>
  </si>
  <si>
    <t xml:space="preserve">Acciones recomendadas </t>
  </si>
  <si>
    <t>Responsables</t>
  </si>
  <si>
    <t>Tiempo</t>
  </si>
  <si>
    <t>Retrasos</t>
  </si>
  <si>
    <t>Demoras en la entrega de la información o disponibilidad del área usuaria</t>
  </si>
  <si>
    <t>Atraso en el entendimiento y modelamiento</t>
  </si>
  <si>
    <t xml:space="preserve">Sobrecarga de actividades del área usuaria </t>
  </si>
  <si>
    <t xml:space="preserve"> -Establecer sesiones de reunión 
-Establecer fechas y cronograma de trabajo para los entregables</t>
  </si>
  <si>
    <t xml:space="preserve"> -Tener un Backup del area que conozca el proceso para realizar el seguimiento</t>
  </si>
  <si>
    <t>Retraso en el cronograma base</t>
  </si>
  <si>
    <t>Extensión del cronograma, afectación de entregables posteriores</t>
  </si>
  <si>
    <t>Mala estimación de tiempos o por carga de trabajo subestimada</t>
  </si>
  <si>
    <t>-Realizar seguimientos semanales para identificar actividades con retraso</t>
  </si>
  <si>
    <t xml:space="preserve"> -Uso de metodologías como iterativo incremental, Espiral o Agiles como SCRUM para controlar las desviaciones del cronograma</t>
  </si>
  <si>
    <t>Analytics</t>
  </si>
  <si>
    <t>Analytics y Tecnología</t>
  </si>
  <si>
    <t>Paros fuerza mayor</t>
  </si>
  <si>
    <t>Ausencias por enfermedad de integrantes del equipo</t>
  </si>
  <si>
    <t>Retrasos en integración de datos y validación de modelos</t>
  </si>
  <si>
    <t>Contingecias de salud</t>
  </si>
  <si>
    <t xml:space="preserve"> -Definir roles y actividades para el conocimiento de tareas de todo el equipo y poder repartir temporalmente las obligaciones</t>
  </si>
  <si>
    <t>-Notificar al resto de integrantes a penas se active el riesgo</t>
  </si>
  <si>
    <t>Cambios</t>
  </si>
  <si>
    <t>Modificacion de requerimientos iniciales</t>
  </si>
  <si>
    <t>Reprocesos y cambios del modelo</t>
  </si>
  <si>
    <t>Definición inicial incompleta</t>
  </si>
  <si>
    <t>-Agendar sesiones de seguimiento con los stakeholders para comunicar avances en los requerimientos documnentados</t>
  </si>
  <si>
    <t>Nuevos requerimientos del área que alteran alcance o entregables.</t>
  </si>
  <si>
    <t>Sobrecarga del equipo técnico</t>
  </si>
  <si>
    <t>Expectativas cambiantes de usuarios</t>
  </si>
  <si>
    <t xml:space="preserve"> -Comunicación semanal o periodica de la información sumistrada por los Stakeholders</t>
  </si>
  <si>
    <t>Gente</t>
  </si>
  <si>
    <t>Rotación</t>
  </si>
  <si>
    <t>Rotación del personal asignado para la ejecucion del proyecto</t>
  </si>
  <si>
    <t>Pérdida de continuidad y curva de aprendizaje</t>
  </si>
  <si>
    <t>Cambios institucionales</t>
  </si>
  <si>
    <t xml:space="preserve"> -Comunicación constante y documentación del proyecto con el objetivo de tener retención documental del mismo
- Repositorios completos con toda la documentación por fase</t>
  </si>
  <si>
    <t>Deficiencia de Perfiles</t>
  </si>
  <si>
    <t>Perfil de los integrantes del proyecto sin conocimiento en MLOps, ASUM-ML/CRISP-ML e implementación de modelado y limpieza en Power Bi</t>
  </si>
  <si>
    <t>Baja calidad en el proyecto, errores en pipelines o validación</t>
  </si>
  <si>
    <t xml:space="preserve">Personal sin cualificación </t>
  </si>
  <si>
    <t xml:space="preserve"> - Diseño metodológico inicial del abordaje del proyecto
- Planeación de los entregables del proyecto</t>
  </si>
  <si>
    <t xml:space="preserve"> -Refuerzo con documentación de librerías</t>
  </si>
  <si>
    <t>Insuficiencia # recursos</t>
  </si>
  <si>
    <t>La cantidad de recursos (integrantes del proyecto) no son suficientes para el alcance del proyecto</t>
  </si>
  <si>
    <t>Retrasos y sobrecarga del equipo actual</t>
  </si>
  <si>
    <t>Limitaciones de disponibilidad</t>
  </si>
  <si>
    <t xml:space="preserve"> -Verificacion de carga operativa</t>
  </si>
  <si>
    <t xml:space="preserve"> -Definir roles y actividades para el conocimiento de tareas </t>
  </si>
  <si>
    <t>Stakeholders</t>
  </si>
  <si>
    <t>No existe una participación activa por parte de los stakeholders</t>
  </si>
  <si>
    <t>Falta de validación oportuna y riesgo de incumplir objetivos</t>
  </si>
  <si>
    <t>Baja priorización del proyecto en su agenda</t>
  </si>
  <si>
    <t xml:space="preserve"> -Agendar sesiones de seguimiento con los stakeholders para comunicar avances en los requerimientos documnentados</t>
  </si>
  <si>
    <t>Costo y Presupuesto</t>
  </si>
  <si>
    <t>Costos desarrollo</t>
  </si>
  <si>
    <t>Las licencias de Power Bi no disponibles</t>
  </si>
  <si>
    <t>Indisponibilidad de las herramientas de trabajo</t>
  </si>
  <si>
    <t>No presupuestación de licencias</t>
  </si>
  <si>
    <t xml:space="preserve"> - Solicitud con antelación de licencias a tenología </t>
  </si>
  <si>
    <t xml:space="preserve"> -validar mecanismos de programación de visualizadores con </t>
  </si>
  <si>
    <t>Costos nueva tecnología</t>
  </si>
  <si>
    <t>Nuevas tecnologias implementadas o cambios en las ya definidas</t>
  </si>
  <si>
    <t>Incompatibilidad y curva de aprendizaje con nuevas tecnologías</t>
  </si>
  <si>
    <t>Perdida de continuidad por indisponibilidad en sistemas</t>
  </si>
  <si>
    <t xml:space="preserve"> -Evaluaciones previas de compatibilidad y documentación técnica actualizada</t>
  </si>
  <si>
    <t>Evaluar costo-beneficio antes de migrar</t>
  </si>
  <si>
    <t>Entregables</t>
  </si>
  <si>
    <t>Relacion con requerimientos</t>
  </si>
  <si>
    <t>El entregable No da respuesta a necesidad negocio</t>
  </si>
  <si>
    <t>Pérdida de utilidad del producto</t>
  </si>
  <si>
    <t>Requerimientos iniciales mal definidos</t>
  </si>
  <si>
    <t xml:space="preserve"> - Validar los entregables con el usuario antes del cierre de cada fase y mantener trazabilidad entre requerimiento y funcionalidad</t>
  </si>
  <si>
    <t>El entregable no cumple con los requerimientos identificados para dar cumplimiento al proyecto</t>
  </si>
  <si>
    <t>Producto incompleto</t>
  </si>
  <si>
    <t xml:space="preserve">Falta de control de versiones </t>
  </si>
  <si>
    <t xml:space="preserve"> - Checklists de requerimientos antes de cada entrega y documentación de cambios y versiones</t>
  </si>
  <si>
    <t xml:space="preserve"> -Implementar matrices de cumplimiento</t>
  </si>
  <si>
    <t>Implementacion en cliente</t>
  </si>
  <si>
    <t>No es implementable en recursos cliente</t>
  </si>
  <si>
    <t>El entregable no puede ponerse en producción</t>
  </si>
  <si>
    <t>Falta de análisis de compatibilidad con sistemas existentes</t>
  </si>
  <si>
    <t xml:space="preserve"> -Implementación del modelo con recursos Open Source y presentación de la documentación </t>
  </si>
  <si>
    <t xml:space="preserve"> - Backup de empaquetamiento del modelo y reuniones con tecnología</t>
  </si>
  <si>
    <t>Aprobacion de entregables</t>
  </si>
  <si>
    <t>El entregable tiene mas de 2 ciclos de revision.</t>
  </si>
  <si>
    <t>Retrasos en el cronograma</t>
  </si>
  <si>
    <t>Falta de estándares claros para la revisión de entregables</t>
  </si>
  <si>
    <t xml:space="preserve"> - Retroalimentaciones periódicas y revisión por pares con el equipo que implementa el proyecto previo a la cumplinación de cada fase</t>
  </si>
  <si>
    <t>Calidad</t>
  </si>
  <si>
    <t>Bajo desempeño</t>
  </si>
  <si>
    <t xml:space="preserve">El visualizador no esta estandarizado para replicarlo y cargarlo </t>
  </si>
  <si>
    <t>Inregridad de la información afectada</t>
  </si>
  <si>
    <t>Deficiencia en la limpieza de la información</t>
  </si>
  <si>
    <t xml:space="preserve"> - Creación de diccionarios de fuentes y anotación de reglas de calidad y limpieza</t>
  </si>
  <si>
    <t xml:space="preserve"> -Analítica descriptiva  con preprocesamiento  y feature engineering y selection para  normalización y codificación de variables categóricas  </t>
  </si>
  <si>
    <t xml:space="preserve">Errores comunes </t>
  </si>
  <si>
    <t>Los entregables presentan defectos o inconsistencias que requieren retrabajo.</t>
  </si>
  <si>
    <t>Resultados no replicables</t>
  </si>
  <si>
    <t>Falta de control de versiones o validaciones automáticas</t>
  </si>
  <si>
    <t xml:space="preserve"> - Control de versiones GitHub y MLFlow</t>
  </si>
  <si>
    <t xml:space="preserve"> -Mantener documentación técnica actualizada y respaldo del código</t>
  </si>
  <si>
    <t>Se omiten procesos de validación o aceptación, generando inconformidad del cliente.</t>
  </si>
  <si>
    <t>Rechazo posterior o necesidad de corrección</t>
  </si>
  <si>
    <t>Falta de comunicación con stakeholders</t>
  </si>
  <si>
    <t>Sesgos por datos incompletos, duplicados o mal codificados o categorizados</t>
  </si>
  <si>
    <t>KPIs  y métricas inestables</t>
  </si>
  <si>
    <t>Falta de depuración o procesos de limpieza</t>
  </si>
  <si>
    <t>Pruebas producto</t>
  </si>
  <si>
    <t>No se realizan pruebas suficientes, lo que permite que errores pasen desapercibidos.</t>
  </si>
  <si>
    <t>Errores en producción</t>
  </si>
  <si>
    <t>Falta de planificación de pruebas</t>
  </si>
  <si>
    <t xml:space="preserve"> -Revisión técnica y validación de métricas principales</t>
  </si>
  <si>
    <t xml:space="preserve"> -Establecer plan de pruebas unitarias </t>
  </si>
  <si>
    <t>Contrato</t>
  </si>
  <si>
    <t>Perdida de confidencialidad de información</t>
  </si>
  <si>
    <t>Incumplimiento de acuerdo de confidencialidad frente al manejo y tratamiento de los datos</t>
  </si>
  <si>
    <t>Vulneración de la Ley 1581/2012</t>
  </si>
  <si>
    <t>Manejo inadecuado de datos sensibles</t>
  </si>
  <si>
    <t xml:space="preserve"> -Conexiones automáticas con los reportes para evitar el uso manual de la información 
- Uso y permisos exclusivos </t>
  </si>
  <si>
    <t xml:space="preserve"> -Acuerdo de confidencialidad</t>
  </si>
  <si>
    <t>Datos</t>
  </si>
  <si>
    <t>Carencia datos</t>
  </si>
  <si>
    <t>Incapacidad de adquisición de datos en tiempos estipulados o inexistencia de éstos.</t>
  </si>
  <si>
    <t xml:space="preserve">Retrasos en la entrega por parte de las áreas responsables de las bases </t>
  </si>
  <si>
    <t xml:space="preserve"> -Comunicación constante con las áres responsables de la información</t>
  </si>
  <si>
    <t>Integración</t>
  </si>
  <si>
    <t>La informacion adquirida no es posible integrarla</t>
  </si>
  <si>
    <t>Imposibilidad de crear dataset consolidado</t>
  </si>
  <si>
    <t>Falta de un esquema de llaves comunes o formatos distintos</t>
  </si>
  <si>
    <t>Metodologia</t>
  </si>
  <si>
    <t>Gestion del proyecto</t>
  </si>
  <si>
    <t>La metodología de gestión del proyecto no ha sido eficiente</t>
  </si>
  <si>
    <t>Desorganización e incumplimiento de entregas</t>
  </si>
  <si>
    <t>Falta de seguimiento periódico</t>
  </si>
  <si>
    <t xml:space="preserve"> -Revisión semanal con el equipo del contenido del proyecto </t>
  </si>
  <si>
    <t xml:space="preserve"> -Implementar KPIs de seguimiento interno</t>
  </si>
  <si>
    <t>Cambio en la metodologia del proyecto</t>
  </si>
  <si>
    <t>Ppérdida de trazabilidad y desviación de objetivos</t>
  </si>
  <si>
    <t>Falta de alineación en el equipo de trabajo</t>
  </si>
  <si>
    <t xml:space="preserve"> -Revisión semanal con el equipo del contenido del proyecto 
- Documentación de cambios en el repositorio</t>
  </si>
  <si>
    <t xml:space="preserve"> -Seguimiento de fases de la metodologia implementada  ASUM-DM</t>
  </si>
  <si>
    <t>desarrollo del producto</t>
  </si>
  <si>
    <t>No se implementa de manera correcta la metodologia ASUM-ML/PMBok</t>
  </si>
  <si>
    <t>Incoherencia entre los objetivos del negocio y el modelo final</t>
  </si>
  <si>
    <t>Desconocimiento de la metodología</t>
  </si>
  <si>
    <t xml:space="preserve"> - Diseño metodológico inicial del abordaje del proyecto
- Construcción de cada entregable por fase </t>
  </si>
  <si>
    <t>No se siguen los estándares definidos, afectando la uniformidad de los entregables.</t>
  </si>
  <si>
    <t>Inconsistencia entre entregas</t>
  </si>
  <si>
    <t>Falta de repositorios unificados</t>
  </si>
  <si>
    <t>Proyecto dashboard de Inteligencia Competitiva de Precios y Demanda</t>
  </si>
  <si>
    <t>Diseñar, validar y publicar un dashboard ejecutivo en Power BI que consolide los programas de la institución, o aquellos que se quieran proponer para el nuevo portafolio, sus comparables directos, precios y diferenciales verificables, e histórico de matrículas SNIES de los últimos cinco años disponibles; permitiendo identificar competencia directa y soportar decisiones de precio, propuesta de valor, comportamiento del mercado, portafolio y captación.</t>
  </si>
  <si>
    <t>Direccioón de Producto, Analytics</t>
  </si>
  <si>
    <t xml:space="preserve"> -Orientaciones con el Director de producto en tareas estratégicas iniciales en la planeación </t>
  </si>
  <si>
    <t>Desconocimiento por parte del área usuaria de la información y las bases del modelo</t>
  </si>
  <si>
    <t xml:space="preserve"> -Solicitudes formales y seguimiento mediante correos de solicitud</t>
  </si>
  <si>
    <t xml:space="preserve"> -Notificar al resto de integrantes a penas se active el riesgo
  -Confirmar con el Director Producto el nuevo responsible o stakeholder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</si>
</sst>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rgb="FF000000"/>
      <name val="Mont"/>
    </font>
    <font>
      <sz val="9"/>
      <color theme="1"/>
      <name val="Mont"/>
    </font>
    <font>
      <sz val="9"/>
      <color rgb="FF000000"/>
      <name val="Mont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1B758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3" xfId="0" applyBorder="1"/>
    <xf numFmtId="0" fontId="0" fillId="0" borderId="10" xfId="0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5" fillId="3" borderId="9" xfId="0" applyFon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4" xfId="0" applyFill="1" applyBorder="1"/>
    <xf numFmtId="0" fontId="0" fillId="0" borderId="0" xfId="0" applyAlignment="1">
      <alignment horizontal="center" vertical="center"/>
    </xf>
    <xf numFmtId="0" fontId="7" fillId="2" borderId="1" xfId="0" applyFont="1" applyFill="1" applyBorder="1"/>
    <xf numFmtId="0" fontId="8" fillId="2" borderId="1" xfId="0" applyFont="1" applyFill="1" applyBorder="1" applyAlignment="1">
      <alignment horizontal="justify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justify" vertical="center" wrapText="1"/>
    </xf>
    <xf numFmtId="0" fontId="6" fillId="7" borderId="1" xfId="0" applyFont="1" applyFill="1" applyBorder="1" applyAlignment="1">
      <alignment horizontal="center" vertical="center" wrapText="1"/>
    </xf>
    <xf numFmtId="49" fontId="0" fillId="0" borderId="6" xfId="0" applyNumberFormat="1" applyBorder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D1B758"/>
      <color rgb="FFE1C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90E2-5129-ED4D-BF55-72114F3AE8A2}">
  <dimension ref="A1:N40"/>
  <sheetViews>
    <sheetView workbookViewId="0">
      <selection activeCell="I10" sqref="I10"/>
    </sheetView>
  </sheetViews>
  <sheetFormatPr baseColWidth="10" defaultColWidth="11.453125" defaultRowHeight="14.5"/>
  <cols>
    <col min="3" max="3" width="15.453125" customWidth="1"/>
    <col min="11" max="11" width="20.453125" customWidth="1"/>
  </cols>
  <sheetData>
    <row r="1" spans="1:12">
      <c r="A1" s="38" t="s">
        <v>0</v>
      </c>
      <c r="B1" s="38"/>
      <c r="C1" s="38"/>
      <c r="D1" s="38"/>
      <c r="E1" s="38"/>
      <c r="F1" s="38"/>
      <c r="G1" s="38"/>
    </row>
    <row r="2" spans="1:12">
      <c r="A2" s="38"/>
      <c r="B2" s="38"/>
      <c r="C2" s="38"/>
      <c r="D2" s="38"/>
      <c r="E2" s="38"/>
      <c r="F2" s="38"/>
      <c r="G2" s="38"/>
    </row>
    <row r="3" spans="1:12" ht="15" thickBot="1"/>
    <row r="4" spans="1:12" ht="30" customHeight="1" thickBot="1">
      <c r="A4" s="35" t="s">
        <v>1</v>
      </c>
      <c r="B4" s="36"/>
      <c r="C4" s="36"/>
      <c r="D4" s="36"/>
      <c r="E4" s="36"/>
      <c r="F4" s="36"/>
      <c r="G4" s="37"/>
      <c r="J4" s="3" t="s">
        <v>2</v>
      </c>
      <c r="K4" s="4" t="s">
        <v>3</v>
      </c>
    </row>
    <row r="5" spans="1:12" ht="15" customHeight="1">
      <c r="A5" s="18" t="s">
        <v>4</v>
      </c>
      <c r="B5" s="33" t="s">
        <v>5</v>
      </c>
      <c r="C5" s="33"/>
      <c r="D5" s="33" t="s">
        <v>6</v>
      </c>
      <c r="E5" s="33"/>
      <c r="F5" s="33"/>
      <c r="G5" s="34"/>
      <c r="J5" s="7" t="s">
        <v>7</v>
      </c>
      <c r="K5" s="2" t="s">
        <v>8</v>
      </c>
    </row>
    <row r="6" spans="1:12" ht="29.15" customHeight="1">
      <c r="A6" s="19">
        <v>1</v>
      </c>
      <c r="B6" s="31" t="s">
        <v>9</v>
      </c>
      <c r="C6" s="31"/>
      <c r="D6" s="31" t="s">
        <v>10</v>
      </c>
      <c r="E6" s="31"/>
      <c r="F6" s="31"/>
      <c r="G6" s="32"/>
      <c r="J6" s="8" t="s">
        <v>11</v>
      </c>
      <c r="K6" s="1" t="s">
        <v>12</v>
      </c>
    </row>
    <row r="7" spans="1:12" ht="29.15" customHeight="1">
      <c r="A7" s="19">
        <v>2</v>
      </c>
      <c r="B7" s="31" t="s">
        <v>13</v>
      </c>
      <c r="C7" s="31"/>
      <c r="D7" s="31" t="s">
        <v>14</v>
      </c>
      <c r="E7" s="31"/>
      <c r="F7" s="31"/>
      <c r="G7" s="32"/>
      <c r="J7" s="9" t="s">
        <v>15</v>
      </c>
      <c r="K7" s="1" t="s">
        <v>16</v>
      </c>
    </row>
    <row r="8" spans="1:12" ht="15" thickBot="1">
      <c r="A8" s="19">
        <v>3</v>
      </c>
      <c r="B8" s="31" t="s">
        <v>17</v>
      </c>
      <c r="C8" s="31"/>
      <c r="D8" s="31" t="s">
        <v>18</v>
      </c>
      <c r="E8" s="31"/>
      <c r="F8" s="31"/>
      <c r="G8" s="32"/>
      <c r="J8" s="10" t="s">
        <v>19</v>
      </c>
      <c r="K8" s="17" t="s">
        <v>20</v>
      </c>
    </row>
    <row r="9" spans="1:12">
      <c r="A9" s="19">
        <v>4</v>
      </c>
      <c r="B9" s="31" t="s">
        <v>21</v>
      </c>
      <c r="C9" s="31"/>
      <c r="D9" s="31" t="s">
        <v>22</v>
      </c>
      <c r="E9" s="31"/>
      <c r="F9" s="31"/>
      <c r="G9" s="32"/>
    </row>
    <row r="10" spans="1:12">
      <c r="A10" s="19">
        <v>5</v>
      </c>
      <c r="B10" s="31" t="s">
        <v>15</v>
      </c>
      <c r="C10" s="31"/>
      <c r="D10" s="31" t="s">
        <v>23</v>
      </c>
      <c r="E10" s="31"/>
      <c r="F10" s="31"/>
      <c r="G10" s="32"/>
      <c r="K10" s="6"/>
    </row>
    <row r="11" spans="1:12">
      <c r="A11" s="19">
        <v>6</v>
      </c>
      <c r="B11" s="31" t="s">
        <v>24</v>
      </c>
      <c r="C11" s="31"/>
      <c r="D11" s="31" t="s">
        <v>25</v>
      </c>
      <c r="E11" s="31"/>
      <c r="F11" s="31"/>
      <c r="G11" s="32"/>
      <c r="K11" s="6"/>
    </row>
    <row r="12" spans="1:12">
      <c r="A12" s="19">
        <v>7</v>
      </c>
      <c r="B12" s="31" t="s">
        <v>7</v>
      </c>
      <c r="C12" s="31"/>
      <c r="D12" s="31" t="s">
        <v>26</v>
      </c>
      <c r="E12" s="31"/>
      <c r="F12" s="31"/>
      <c r="G12" s="32"/>
      <c r="K12" s="6"/>
    </row>
    <row r="13" spans="1:12">
      <c r="A13" s="19">
        <v>8</v>
      </c>
      <c r="B13" s="31" t="s">
        <v>27</v>
      </c>
      <c r="C13" s="31"/>
      <c r="D13" s="31" t="s">
        <v>28</v>
      </c>
      <c r="E13" s="31"/>
      <c r="F13" s="31"/>
      <c r="G13" s="32"/>
    </row>
    <row r="14" spans="1:12" ht="15" thickBot="1">
      <c r="A14" s="20" t="s">
        <v>29</v>
      </c>
      <c r="B14" s="29" t="s">
        <v>30</v>
      </c>
      <c r="C14" s="29"/>
      <c r="D14" s="29" t="s">
        <v>31</v>
      </c>
      <c r="E14" s="29"/>
      <c r="F14" s="29"/>
      <c r="G14" s="30"/>
    </row>
    <row r="15" spans="1:12" ht="15" thickBot="1">
      <c r="K15" s="6"/>
      <c r="L15" s="6"/>
    </row>
    <row r="16" spans="1:12" ht="29.15" customHeight="1">
      <c r="A16" s="35" t="s">
        <v>32</v>
      </c>
      <c r="B16" s="36"/>
      <c r="C16" s="36"/>
      <c r="D16" s="36"/>
      <c r="E16" s="36"/>
      <c r="F16" s="36"/>
      <c r="G16" s="37"/>
    </row>
    <row r="17" spans="1:14" ht="16" customHeight="1">
      <c r="A17" s="18" t="s">
        <v>4</v>
      </c>
      <c r="B17" s="33" t="s">
        <v>33</v>
      </c>
      <c r="C17" s="33"/>
      <c r="D17" s="33" t="s">
        <v>34</v>
      </c>
      <c r="E17" s="33"/>
      <c r="F17" s="33"/>
      <c r="G17" s="34"/>
    </row>
    <row r="18" spans="1:14" ht="16" customHeight="1">
      <c r="A18" s="19">
        <v>1</v>
      </c>
      <c r="B18" s="31">
        <v>0</v>
      </c>
      <c r="C18" s="31"/>
      <c r="D18" s="31" t="s">
        <v>35</v>
      </c>
      <c r="E18" s="31"/>
      <c r="F18" s="31"/>
      <c r="G18" s="32"/>
    </row>
    <row r="19" spans="1:14" ht="16" customHeight="1">
      <c r="A19" s="19">
        <v>2</v>
      </c>
      <c r="B19" s="31" t="s">
        <v>36</v>
      </c>
      <c r="C19" s="31"/>
      <c r="D19" s="31" t="s">
        <v>37</v>
      </c>
      <c r="E19" s="31"/>
      <c r="F19" s="31"/>
      <c r="G19" s="32"/>
    </row>
    <row r="20" spans="1:14" ht="16" customHeight="1">
      <c r="A20" s="19">
        <v>3</v>
      </c>
      <c r="B20" s="31" t="s">
        <v>38</v>
      </c>
      <c r="C20" s="31"/>
      <c r="D20" s="31" t="s">
        <v>17</v>
      </c>
      <c r="E20" s="31"/>
      <c r="F20" s="31"/>
      <c r="G20" s="32"/>
    </row>
    <row r="21" spans="1:14" ht="16" customHeight="1">
      <c r="A21" s="19">
        <v>4</v>
      </c>
      <c r="B21" s="31" t="s">
        <v>39</v>
      </c>
      <c r="C21" s="31"/>
      <c r="D21" s="31" t="s">
        <v>21</v>
      </c>
      <c r="E21" s="31"/>
      <c r="F21" s="31"/>
      <c r="G21" s="32"/>
    </row>
    <row r="22" spans="1:14" ht="16" customHeight="1">
      <c r="A22" s="19">
        <v>5</v>
      </c>
      <c r="B22" s="31" t="s">
        <v>40</v>
      </c>
      <c r="C22" s="31"/>
      <c r="D22" s="31" t="s">
        <v>15</v>
      </c>
      <c r="E22" s="31"/>
      <c r="F22" s="31"/>
      <c r="G22" s="32"/>
    </row>
    <row r="23" spans="1:14" ht="16" customHeight="1">
      <c r="A23" s="19">
        <v>6</v>
      </c>
      <c r="B23" s="31" t="s">
        <v>41</v>
      </c>
      <c r="C23" s="31"/>
      <c r="D23" s="31" t="s">
        <v>24</v>
      </c>
      <c r="E23" s="31"/>
      <c r="F23" s="31"/>
      <c r="G23" s="32"/>
      <c r="K23" s="6"/>
      <c r="L23" s="6"/>
    </row>
    <row r="24" spans="1:14" ht="16" customHeight="1">
      <c r="A24" s="19">
        <v>7</v>
      </c>
      <c r="B24" s="31" t="s">
        <v>42</v>
      </c>
      <c r="C24" s="31"/>
      <c r="D24" s="31" t="s">
        <v>7</v>
      </c>
      <c r="E24" s="31"/>
      <c r="F24" s="31"/>
      <c r="G24" s="32"/>
    </row>
    <row r="25" spans="1:14" ht="16" customHeight="1">
      <c r="A25" s="19">
        <v>8</v>
      </c>
      <c r="B25" s="31" t="s">
        <v>43</v>
      </c>
      <c r="C25" s="31"/>
      <c r="D25" s="31" t="s">
        <v>27</v>
      </c>
      <c r="E25" s="31"/>
      <c r="F25" s="31"/>
      <c r="G25" s="32"/>
    </row>
    <row r="26" spans="1:14" ht="16" customHeight="1">
      <c r="A26" s="19">
        <v>9</v>
      </c>
      <c r="B26" s="31" t="s">
        <v>44</v>
      </c>
      <c r="C26" s="31"/>
      <c r="D26" s="31" t="s">
        <v>30</v>
      </c>
      <c r="E26" s="31"/>
      <c r="F26" s="31"/>
      <c r="G26" s="32"/>
    </row>
    <row r="27" spans="1:14" ht="15" thickBot="1">
      <c r="A27" s="20">
        <v>10</v>
      </c>
      <c r="B27" s="29" t="s">
        <v>45</v>
      </c>
      <c r="C27" s="29"/>
      <c r="D27" s="29" t="s">
        <v>46</v>
      </c>
      <c r="E27" s="29"/>
      <c r="F27" s="29"/>
      <c r="G27" s="30"/>
    </row>
    <row r="28" spans="1:14" ht="15" thickBot="1"/>
    <row r="29" spans="1:14" ht="28" customHeight="1">
      <c r="A29" s="35" t="s">
        <v>47</v>
      </c>
      <c r="B29" s="36"/>
      <c r="C29" s="36"/>
      <c r="D29" s="36"/>
      <c r="E29" s="36"/>
      <c r="F29" s="36"/>
      <c r="G29" s="37"/>
      <c r="L29" s="6"/>
      <c r="M29" s="6"/>
      <c r="N29" s="6"/>
    </row>
    <row r="30" spans="1:14">
      <c r="A30" s="18" t="s">
        <v>4</v>
      </c>
      <c r="B30" s="33" t="s">
        <v>48</v>
      </c>
      <c r="C30" s="33"/>
      <c r="D30" s="33" t="s">
        <v>34</v>
      </c>
      <c r="E30" s="33"/>
      <c r="F30" s="33"/>
      <c r="G30" s="34"/>
    </row>
    <row r="31" spans="1:14" ht="16" customHeight="1">
      <c r="A31" s="19">
        <v>1</v>
      </c>
      <c r="B31" s="31" t="s">
        <v>49</v>
      </c>
      <c r="C31" s="31"/>
      <c r="D31" s="31" t="s">
        <v>50</v>
      </c>
      <c r="E31" s="31"/>
      <c r="F31" s="31"/>
      <c r="G31" s="32"/>
    </row>
    <row r="32" spans="1:14" ht="16" customHeight="1">
      <c r="A32" s="19">
        <v>2</v>
      </c>
      <c r="B32" s="31" t="s">
        <v>51</v>
      </c>
      <c r="C32" s="31"/>
      <c r="D32" s="31" t="s">
        <v>52</v>
      </c>
      <c r="E32" s="31"/>
      <c r="F32" s="31"/>
      <c r="G32" s="32"/>
    </row>
    <row r="33" spans="1:7" ht="16" customHeight="1">
      <c r="A33" s="19">
        <v>3</v>
      </c>
      <c r="B33" s="31" t="s">
        <v>53</v>
      </c>
      <c r="C33" s="31"/>
      <c r="D33" s="31" t="s">
        <v>54</v>
      </c>
      <c r="E33" s="31"/>
      <c r="F33" s="31"/>
      <c r="G33" s="32"/>
    </row>
    <row r="34" spans="1:7" ht="16" customHeight="1">
      <c r="A34" s="19">
        <v>4</v>
      </c>
      <c r="B34" s="31" t="s">
        <v>55</v>
      </c>
      <c r="C34" s="31"/>
      <c r="D34" s="31" t="s">
        <v>56</v>
      </c>
      <c r="E34" s="31"/>
      <c r="F34" s="31"/>
      <c r="G34" s="32"/>
    </row>
    <row r="35" spans="1:7" ht="16" customHeight="1">
      <c r="A35" s="19">
        <v>5</v>
      </c>
      <c r="B35" s="31" t="s">
        <v>57</v>
      </c>
      <c r="C35" s="31"/>
      <c r="D35" s="31" t="s">
        <v>58</v>
      </c>
      <c r="E35" s="31"/>
      <c r="F35" s="31"/>
      <c r="G35" s="32"/>
    </row>
    <row r="36" spans="1:7">
      <c r="A36" s="19">
        <v>6</v>
      </c>
      <c r="B36" s="31" t="s">
        <v>59</v>
      </c>
      <c r="C36" s="31"/>
      <c r="D36" s="31" t="s">
        <v>60</v>
      </c>
      <c r="E36" s="31"/>
      <c r="F36" s="31"/>
      <c r="G36" s="32"/>
    </row>
    <row r="37" spans="1:7">
      <c r="A37" s="19">
        <v>7</v>
      </c>
      <c r="B37" s="31" t="s">
        <v>61</v>
      </c>
      <c r="C37" s="31"/>
      <c r="D37" s="31" t="s">
        <v>62</v>
      </c>
      <c r="E37" s="31"/>
      <c r="F37" s="31"/>
      <c r="G37" s="32"/>
    </row>
    <row r="38" spans="1:7">
      <c r="A38" s="19">
        <v>8</v>
      </c>
      <c r="B38" s="31" t="s">
        <v>63</v>
      </c>
      <c r="C38" s="31"/>
      <c r="D38" s="31" t="s">
        <v>64</v>
      </c>
      <c r="E38" s="31"/>
      <c r="F38" s="31"/>
      <c r="G38" s="32"/>
    </row>
    <row r="39" spans="1:7" ht="16" customHeight="1">
      <c r="A39" s="19">
        <v>9</v>
      </c>
      <c r="B39" s="31" t="s">
        <v>65</v>
      </c>
      <c r="C39" s="31"/>
      <c r="D39" s="31" t="s">
        <v>66</v>
      </c>
      <c r="E39" s="31"/>
      <c r="F39" s="31"/>
      <c r="G39" s="32"/>
    </row>
    <row r="40" spans="1:7" ht="15" thickBot="1">
      <c r="A40" s="20">
        <v>10</v>
      </c>
      <c r="B40" s="29" t="s">
        <v>67</v>
      </c>
      <c r="C40" s="29"/>
      <c r="D40" s="29" t="s">
        <v>68</v>
      </c>
      <c r="E40" s="29"/>
      <c r="F40" s="29"/>
      <c r="G40" s="30"/>
    </row>
  </sheetData>
  <mergeCells count="68">
    <mergeCell ref="A1:G2"/>
    <mergeCell ref="A4:G4"/>
    <mergeCell ref="D5:G5"/>
    <mergeCell ref="D7:G7"/>
    <mergeCell ref="D8:G8"/>
    <mergeCell ref="D9:G9"/>
    <mergeCell ref="D10:G10"/>
    <mergeCell ref="B5:C5"/>
    <mergeCell ref="B7:C7"/>
    <mergeCell ref="B8:C8"/>
    <mergeCell ref="B9:C9"/>
    <mergeCell ref="B10:C10"/>
    <mergeCell ref="B6:C6"/>
    <mergeCell ref="D6:G6"/>
    <mergeCell ref="D11:G11"/>
    <mergeCell ref="D12:G12"/>
    <mergeCell ref="B13:C13"/>
    <mergeCell ref="D13:G13"/>
    <mergeCell ref="B14:C14"/>
    <mergeCell ref="D14:G14"/>
    <mergeCell ref="B11:C11"/>
    <mergeCell ref="B12:C12"/>
    <mergeCell ref="B24:C24"/>
    <mergeCell ref="D24:G24"/>
    <mergeCell ref="B25:C25"/>
    <mergeCell ref="D25:G25"/>
    <mergeCell ref="B21:C21"/>
    <mergeCell ref="D21:G21"/>
    <mergeCell ref="B22:C22"/>
    <mergeCell ref="D22:G22"/>
    <mergeCell ref="B23:C23"/>
    <mergeCell ref="D23:G23"/>
    <mergeCell ref="A16:G16"/>
    <mergeCell ref="B17:C17"/>
    <mergeCell ref="D17:G17"/>
    <mergeCell ref="B19:C19"/>
    <mergeCell ref="B32:C32"/>
    <mergeCell ref="D32:G32"/>
    <mergeCell ref="B27:C27"/>
    <mergeCell ref="D27:G27"/>
    <mergeCell ref="B18:C18"/>
    <mergeCell ref="D18:G18"/>
    <mergeCell ref="B26:C26"/>
    <mergeCell ref="D26:G26"/>
    <mergeCell ref="D19:G19"/>
    <mergeCell ref="B20:C20"/>
    <mergeCell ref="D20:G20"/>
    <mergeCell ref="A29:G29"/>
    <mergeCell ref="B30:C30"/>
    <mergeCell ref="D30:G30"/>
    <mergeCell ref="B31:C31"/>
    <mergeCell ref="D31:G31"/>
    <mergeCell ref="B33:C33"/>
    <mergeCell ref="D33:G33"/>
    <mergeCell ref="B34:C34"/>
    <mergeCell ref="D34:G34"/>
    <mergeCell ref="B35:C35"/>
    <mergeCell ref="D35:G35"/>
    <mergeCell ref="B39:C39"/>
    <mergeCell ref="D39:G39"/>
    <mergeCell ref="B40:C40"/>
    <mergeCell ref="D40:G40"/>
    <mergeCell ref="B36:C36"/>
    <mergeCell ref="D36:G36"/>
    <mergeCell ref="B37:C37"/>
    <mergeCell ref="D37:G37"/>
    <mergeCell ref="B38:C38"/>
    <mergeCell ref="D38:G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FF4C-D7B8-4B9A-9E6D-BE2F2A02BC59}">
  <dimension ref="A2:L32"/>
  <sheetViews>
    <sheetView tabSelected="1" zoomScaleNormal="100" workbookViewId="0">
      <selection activeCell="C10" sqref="C10"/>
    </sheetView>
  </sheetViews>
  <sheetFormatPr baseColWidth="10" defaultColWidth="11.453125" defaultRowHeight="14.5"/>
  <cols>
    <col min="3" max="3" width="48.453125" customWidth="1"/>
    <col min="4" max="4" width="16.81640625" customWidth="1"/>
    <col min="5" max="5" width="13.1796875" style="11" customWidth="1"/>
    <col min="6" max="6" width="17.453125" customWidth="1"/>
    <col min="7" max="7" width="13.1796875" style="11" customWidth="1"/>
    <col min="8" max="8" width="31.81640625" customWidth="1"/>
    <col min="9" max="9" width="13.1796875" style="11" customWidth="1"/>
    <col min="10" max="10" width="13.1796875" style="5" customWidth="1"/>
    <col min="11" max="11" width="34.1796875" customWidth="1"/>
    <col min="12" max="12" width="21.81640625" customWidth="1"/>
  </cols>
  <sheetData>
    <row r="2" spans="1:12" ht="55.5" customHeight="1">
      <c r="A2" s="21" t="s">
        <v>69</v>
      </c>
      <c r="B2" s="22"/>
      <c r="C2" s="23" t="s">
        <v>231</v>
      </c>
      <c r="D2" s="24"/>
      <c r="E2" s="25"/>
      <c r="F2" s="21" t="s">
        <v>70</v>
      </c>
      <c r="G2" s="22"/>
      <c r="H2" s="26" t="s">
        <v>232</v>
      </c>
      <c r="I2" s="27"/>
      <c r="J2" s="27"/>
      <c r="K2" s="27"/>
      <c r="L2" s="28"/>
    </row>
    <row r="4" spans="1:12" ht="51.65" customHeight="1">
      <c r="A4" s="15" t="s">
        <v>71</v>
      </c>
      <c r="B4" s="15" t="s">
        <v>72</v>
      </c>
      <c r="C4" s="15" t="s">
        <v>73</v>
      </c>
      <c r="D4" s="15" t="s">
        <v>74</v>
      </c>
      <c r="E4" s="16" t="s">
        <v>75</v>
      </c>
      <c r="F4" s="15" t="s">
        <v>76</v>
      </c>
      <c r="G4" s="16" t="s">
        <v>77</v>
      </c>
      <c r="H4" s="15" t="s">
        <v>78</v>
      </c>
      <c r="I4" s="16" t="s">
        <v>79</v>
      </c>
      <c r="J4" s="16" t="s">
        <v>80</v>
      </c>
      <c r="K4" s="15" t="s">
        <v>81</v>
      </c>
      <c r="L4" s="15" t="s">
        <v>82</v>
      </c>
    </row>
    <row r="5" spans="1:12" ht="34.5">
      <c r="A5" s="12" t="s">
        <v>83</v>
      </c>
      <c r="B5" s="12" t="s">
        <v>84</v>
      </c>
      <c r="C5" s="13" t="s">
        <v>85</v>
      </c>
      <c r="D5" s="13" t="s">
        <v>86</v>
      </c>
      <c r="E5" s="14">
        <v>8</v>
      </c>
      <c r="F5" s="13" t="s">
        <v>87</v>
      </c>
      <c r="G5" s="14">
        <v>6</v>
      </c>
      <c r="H5" s="13" t="s">
        <v>88</v>
      </c>
      <c r="I5" s="14">
        <v>3</v>
      </c>
      <c r="J5" s="14">
        <f>E5*G5*I5</f>
        <v>144</v>
      </c>
      <c r="K5" s="13" t="s">
        <v>89</v>
      </c>
      <c r="L5" s="13" t="s">
        <v>233</v>
      </c>
    </row>
    <row r="6" spans="1:12" ht="57.5">
      <c r="A6" s="12" t="s">
        <v>83</v>
      </c>
      <c r="B6" s="12" t="s">
        <v>84</v>
      </c>
      <c r="C6" s="13" t="s">
        <v>90</v>
      </c>
      <c r="D6" s="13" t="s">
        <v>91</v>
      </c>
      <c r="E6" s="14">
        <v>7</v>
      </c>
      <c r="F6" s="13" t="s">
        <v>92</v>
      </c>
      <c r="G6" s="14">
        <v>5</v>
      </c>
      <c r="H6" s="13" t="s">
        <v>93</v>
      </c>
      <c r="I6" s="14">
        <v>1</v>
      </c>
      <c r="J6" s="14">
        <f t="shared" ref="J6:J32" si="0">E6*G6*I6</f>
        <v>35</v>
      </c>
      <c r="K6" s="13" t="s">
        <v>94</v>
      </c>
      <c r="L6" s="13" t="s">
        <v>95</v>
      </c>
    </row>
    <row r="7" spans="1:12" ht="46">
      <c r="A7" s="12" t="s">
        <v>83</v>
      </c>
      <c r="B7" s="12" t="s">
        <v>97</v>
      </c>
      <c r="C7" s="13" t="s">
        <v>98</v>
      </c>
      <c r="D7" s="13" t="s">
        <v>99</v>
      </c>
      <c r="E7" s="14">
        <v>3</v>
      </c>
      <c r="F7" s="13" t="s">
        <v>100</v>
      </c>
      <c r="G7" s="14">
        <v>2</v>
      </c>
      <c r="H7" s="13" t="s">
        <v>101</v>
      </c>
      <c r="I7" s="14">
        <v>7</v>
      </c>
      <c r="J7" s="14">
        <f t="shared" si="0"/>
        <v>42</v>
      </c>
      <c r="K7" s="13" t="s">
        <v>102</v>
      </c>
      <c r="L7" s="13" t="s">
        <v>233</v>
      </c>
    </row>
    <row r="8" spans="1:12" ht="34.5">
      <c r="A8" s="12" t="s">
        <v>83</v>
      </c>
      <c r="B8" s="12" t="s">
        <v>103</v>
      </c>
      <c r="C8" s="13" t="s">
        <v>104</v>
      </c>
      <c r="D8" s="13" t="s">
        <v>105</v>
      </c>
      <c r="E8" s="14">
        <v>8</v>
      </c>
      <c r="F8" s="13" t="s">
        <v>106</v>
      </c>
      <c r="G8" s="14">
        <v>5</v>
      </c>
      <c r="H8" s="13" t="s">
        <v>107</v>
      </c>
      <c r="I8" s="14">
        <v>5</v>
      </c>
      <c r="J8" s="14">
        <f t="shared" si="0"/>
        <v>200</v>
      </c>
      <c r="K8" s="13" t="s">
        <v>234</v>
      </c>
      <c r="L8" s="13" t="s">
        <v>233</v>
      </c>
    </row>
    <row r="9" spans="1:12" ht="34.5">
      <c r="A9" s="12" t="s">
        <v>83</v>
      </c>
      <c r="B9" s="12" t="s">
        <v>103</v>
      </c>
      <c r="C9" s="13" t="s">
        <v>108</v>
      </c>
      <c r="D9" s="13" t="s">
        <v>109</v>
      </c>
      <c r="E9" s="14">
        <v>4</v>
      </c>
      <c r="F9" s="13" t="s">
        <v>110</v>
      </c>
      <c r="G9" s="14">
        <v>8</v>
      </c>
      <c r="H9" s="13" t="s">
        <v>107</v>
      </c>
      <c r="I9" s="14">
        <v>8</v>
      </c>
      <c r="J9" s="14">
        <f t="shared" si="0"/>
        <v>256</v>
      </c>
      <c r="K9" s="13" t="s">
        <v>111</v>
      </c>
      <c r="L9" s="13" t="s">
        <v>233</v>
      </c>
    </row>
    <row r="10" spans="1:12" ht="69">
      <c r="A10" s="12" t="s">
        <v>112</v>
      </c>
      <c r="B10" s="12" t="s">
        <v>113</v>
      </c>
      <c r="C10" s="13" t="s">
        <v>114</v>
      </c>
      <c r="D10" s="13" t="s">
        <v>115</v>
      </c>
      <c r="E10" s="14">
        <v>6</v>
      </c>
      <c r="F10" s="13" t="s">
        <v>116</v>
      </c>
      <c r="G10" s="14">
        <v>5</v>
      </c>
      <c r="H10" s="13" t="s">
        <v>117</v>
      </c>
      <c r="I10" s="14">
        <v>2</v>
      </c>
      <c r="J10" s="14">
        <f t="shared" si="0"/>
        <v>60</v>
      </c>
      <c r="K10" s="13" t="s">
        <v>237</v>
      </c>
      <c r="L10" s="13" t="s">
        <v>233</v>
      </c>
    </row>
    <row r="11" spans="1:12" ht="46">
      <c r="A11" s="12" t="s">
        <v>112</v>
      </c>
      <c r="B11" s="12" t="s">
        <v>118</v>
      </c>
      <c r="C11" s="13" t="s">
        <v>119</v>
      </c>
      <c r="D11" s="13" t="s">
        <v>120</v>
      </c>
      <c r="E11" s="14">
        <v>9</v>
      </c>
      <c r="F11" s="13" t="s">
        <v>121</v>
      </c>
      <c r="G11" s="14">
        <v>2</v>
      </c>
      <c r="H11" s="13" t="s">
        <v>122</v>
      </c>
      <c r="I11" s="14">
        <v>3</v>
      </c>
      <c r="J11" s="14">
        <f t="shared" si="0"/>
        <v>54</v>
      </c>
      <c r="K11" s="13" t="s">
        <v>123</v>
      </c>
      <c r="L11" s="13" t="s">
        <v>95</v>
      </c>
    </row>
    <row r="12" spans="1:12" ht="34.5">
      <c r="A12" s="12" t="s">
        <v>112</v>
      </c>
      <c r="B12" s="12" t="s">
        <v>124</v>
      </c>
      <c r="C12" s="13" t="s">
        <v>125</v>
      </c>
      <c r="D12" s="13" t="s">
        <v>126</v>
      </c>
      <c r="E12" s="14">
        <v>3</v>
      </c>
      <c r="F12" s="13" t="s">
        <v>127</v>
      </c>
      <c r="G12" s="14">
        <v>2</v>
      </c>
      <c r="H12" s="13" t="s">
        <v>128</v>
      </c>
      <c r="I12" s="14">
        <v>2</v>
      </c>
      <c r="J12" s="14">
        <f t="shared" si="0"/>
        <v>12</v>
      </c>
      <c r="K12" s="13" t="s">
        <v>129</v>
      </c>
      <c r="L12" s="13" t="s">
        <v>95</v>
      </c>
    </row>
    <row r="13" spans="1:12" ht="34.5">
      <c r="A13" s="12" t="s">
        <v>112</v>
      </c>
      <c r="B13" s="12" t="s">
        <v>130</v>
      </c>
      <c r="C13" s="13" t="s">
        <v>131</v>
      </c>
      <c r="D13" s="13" t="s">
        <v>132</v>
      </c>
      <c r="E13" s="14">
        <v>7</v>
      </c>
      <c r="F13" s="13" t="s">
        <v>133</v>
      </c>
      <c r="G13" s="14">
        <v>7</v>
      </c>
      <c r="H13" s="13" t="s">
        <v>134</v>
      </c>
      <c r="I13" s="14">
        <v>2</v>
      </c>
      <c r="J13" s="14">
        <f t="shared" si="0"/>
        <v>98</v>
      </c>
      <c r="K13" s="13" t="s">
        <v>111</v>
      </c>
      <c r="L13" s="13" t="s">
        <v>233</v>
      </c>
    </row>
    <row r="14" spans="1:12" ht="47.15" customHeight="1">
      <c r="A14" s="12" t="s">
        <v>135</v>
      </c>
      <c r="B14" s="12" t="s">
        <v>136</v>
      </c>
      <c r="C14" s="13" t="s">
        <v>137</v>
      </c>
      <c r="D14" s="13" t="s">
        <v>138</v>
      </c>
      <c r="E14" s="14">
        <v>9</v>
      </c>
      <c r="F14" s="13" t="s">
        <v>139</v>
      </c>
      <c r="G14" s="14">
        <v>6</v>
      </c>
      <c r="H14" s="13" t="s">
        <v>140</v>
      </c>
      <c r="I14" s="14">
        <v>2</v>
      </c>
      <c r="J14" s="14">
        <f t="shared" si="0"/>
        <v>108</v>
      </c>
      <c r="K14" s="13" t="s">
        <v>141</v>
      </c>
      <c r="L14" s="13" t="s">
        <v>96</v>
      </c>
    </row>
    <row r="15" spans="1:12" ht="46">
      <c r="A15" s="12" t="s">
        <v>135</v>
      </c>
      <c r="B15" s="12" t="s">
        <v>142</v>
      </c>
      <c r="C15" s="13" t="s">
        <v>143</v>
      </c>
      <c r="D15" s="13" t="s">
        <v>144</v>
      </c>
      <c r="E15" s="14">
        <v>7</v>
      </c>
      <c r="F15" s="13" t="s">
        <v>145</v>
      </c>
      <c r="G15" s="14">
        <v>7</v>
      </c>
      <c r="H15" s="13" t="s">
        <v>146</v>
      </c>
      <c r="I15" s="14">
        <v>5</v>
      </c>
      <c r="J15" s="14">
        <f t="shared" si="0"/>
        <v>245</v>
      </c>
      <c r="K15" s="13" t="s">
        <v>147</v>
      </c>
      <c r="L15" s="13" t="s">
        <v>96</v>
      </c>
    </row>
    <row r="16" spans="1:12" ht="46">
      <c r="A16" s="12" t="s">
        <v>148</v>
      </c>
      <c r="B16" s="12" t="s">
        <v>149</v>
      </c>
      <c r="C16" s="13" t="s">
        <v>150</v>
      </c>
      <c r="D16" s="13" t="s">
        <v>151</v>
      </c>
      <c r="E16" s="14">
        <v>9</v>
      </c>
      <c r="F16" s="13" t="s">
        <v>152</v>
      </c>
      <c r="G16" s="14">
        <v>4</v>
      </c>
      <c r="H16" s="13" t="s">
        <v>107</v>
      </c>
      <c r="I16" s="14">
        <v>4</v>
      </c>
      <c r="J16" s="14">
        <f t="shared" si="0"/>
        <v>144</v>
      </c>
      <c r="K16" s="13" t="s">
        <v>153</v>
      </c>
      <c r="L16" s="13" t="s">
        <v>233</v>
      </c>
    </row>
    <row r="17" spans="1:12" ht="34.5">
      <c r="A17" s="12" t="s">
        <v>148</v>
      </c>
      <c r="B17" s="12" t="s">
        <v>149</v>
      </c>
      <c r="C17" s="13" t="s">
        <v>154</v>
      </c>
      <c r="D17" s="13" t="s">
        <v>155</v>
      </c>
      <c r="E17" s="14">
        <v>10</v>
      </c>
      <c r="F17" s="13" t="s">
        <v>156</v>
      </c>
      <c r="G17" s="14">
        <v>6</v>
      </c>
      <c r="H17" s="13" t="s">
        <v>157</v>
      </c>
      <c r="I17" s="14">
        <v>3</v>
      </c>
      <c r="J17" s="14">
        <f t="shared" si="0"/>
        <v>180</v>
      </c>
      <c r="K17" s="13" t="s">
        <v>158</v>
      </c>
      <c r="L17" s="13" t="s">
        <v>95</v>
      </c>
    </row>
    <row r="18" spans="1:12" ht="34.5">
      <c r="A18" s="12" t="s">
        <v>148</v>
      </c>
      <c r="B18" s="12" t="s">
        <v>159</v>
      </c>
      <c r="C18" s="13" t="s">
        <v>160</v>
      </c>
      <c r="D18" s="13" t="s">
        <v>161</v>
      </c>
      <c r="E18" s="14">
        <v>10</v>
      </c>
      <c r="F18" s="13" t="s">
        <v>162</v>
      </c>
      <c r="G18" s="14">
        <v>9</v>
      </c>
      <c r="H18" s="13" t="s">
        <v>163</v>
      </c>
      <c r="I18" s="14">
        <v>5</v>
      </c>
      <c r="J18" s="14">
        <f t="shared" si="0"/>
        <v>450</v>
      </c>
      <c r="K18" s="13" t="s">
        <v>164</v>
      </c>
      <c r="L18" s="13" t="s">
        <v>96</v>
      </c>
    </row>
    <row r="19" spans="1:12" ht="46">
      <c r="A19" s="12" t="s">
        <v>148</v>
      </c>
      <c r="B19" s="12" t="s">
        <v>165</v>
      </c>
      <c r="C19" s="13" t="s">
        <v>166</v>
      </c>
      <c r="D19" s="13" t="s">
        <v>167</v>
      </c>
      <c r="E19" s="14">
        <v>6</v>
      </c>
      <c r="F19" s="13" t="s">
        <v>168</v>
      </c>
      <c r="G19" s="14">
        <v>8</v>
      </c>
      <c r="H19" s="13" t="s">
        <v>169</v>
      </c>
      <c r="I19" s="14">
        <v>3</v>
      </c>
      <c r="J19" s="14">
        <f t="shared" si="0"/>
        <v>144</v>
      </c>
      <c r="K19" s="13" t="s">
        <v>157</v>
      </c>
      <c r="L19" s="13" t="s">
        <v>233</v>
      </c>
    </row>
    <row r="20" spans="1:12" ht="46">
      <c r="A20" s="12" t="s">
        <v>170</v>
      </c>
      <c r="B20" s="12" t="s">
        <v>171</v>
      </c>
      <c r="C20" s="13" t="s">
        <v>172</v>
      </c>
      <c r="D20" s="13" t="s">
        <v>173</v>
      </c>
      <c r="E20" s="14">
        <v>7</v>
      </c>
      <c r="F20" s="13" t="s">
        <v>174</v>
      </c>
      <c r="G20" s="14">
        <v>6</v>
      </c>
      <c r="H20" s="13" t="s">
        <v>175</v>
      </c>
      <c r="I20" s="14">
        <v>6</v>
      </c>
      <c r="J20" s="14">
        <f t="shared" si="0"/>
        <v>252</v>
      </c>
      <c r="K20" s="13" t="s">
        <v>176</v>
      </c>
      <c r="L20" s="13" t="s">
        <v>95</v>
      </c>
    </row>
    <row r="21" spans="1:12" ht="46">
      <c r="A21" s="12" t="s">
        <v>170</v>
      </c>
      <c r="B21" s="12" t="s">
        <v>177</v>
      </c>
      <c r="C21" s="13" t="s">
        <v>178</v>
      </c>
      <c r="D21" s="13" t="s">
        <v>179</v>
      </c>
      <c r="E21" s="14">
        <v>7</v>
      </c>
      <c r="F21" s="13" t="s">
        <v>180</v>
      </c>
      <c r="G21" s="14">
        <v>5</v>
      </c>
      <c r="H21" s="13" t="s">
        <v>181</v>
      </c>
      <c r="I21" s="14">
        <v>4</v>
      </c>
      <c r="J21" s="14">
        <f t="shared" si="0"/>
        <v>140</v>
      </c>
      <c r="K21" s="13" t="s">
        <v>182</v>
      </c>
      <c r="L21" s="13" t="s">
        <v>95</v>
      </c>
    </row>
    <row r="22" spans="1:12" ht="34.5">
      <c r="A22" s="12" t="s">
        <v>170</v>
      </c>
      <c r="B22" s="12" t="s">
        <v>177</v>
      </c>
      <c r="C22" s="13" t="s">
        <v>183</v>
      </c>
      <c r="D22" s="13" t="s">
        <v>184</v>
      </c>
      <c r="E22" s="14">
        <v>7</v>
      </c>
      <c r="F22" s="13" t="s">
        <v>185</v>
      </c>
      <c r="G22" s="14">
        <v>7</v>
      </c>
      <c r="H22" s="13" t="s">
        <v>107</v>
      </c>
      <c r="I22" s="14">
        <v>4</v>
      </c>
      <c r="J22" s="14">
        <f t="shared" si="0"/>
        <v>196</v>
      </c>
      <c r="K22" s="13" t="s">
        <v>157</v>
      </c>
      <c r="L22" s="13" t="s">
        <v>233</v>
      </c>
    </row>
    <row r="23" spans="1:12" ht="46">
      <c r="A23" s="12" t="s">
        <v>170</v>
      </c>
      <c r="B23" s="12" t="s">
        <v>177</v>
      </c>
      <c r="C23" s="13" t="s">
        <v>186</v>
      </c>
      <c r="D23" s="13" t="s">
        <v>187</v>
      </c>
      <c r="E23" s="14">
        <v>9</v>
      </c>
      <c r="F23" s="13" t="s">
        <v>188</v>
      </c>
      <c r="G23" s="14">
        <v>6</v>
      </c>
      <c r="H23" s="13" t="s">
        <v>175</v>
      </c>
      <c r="I23" s="14">
        <v>6</v>
      </c>
      <c r="J23" s="14">
        <f t="shared" si="0"/>
        <v>324</v>
      </c>
      <c r="K23" s="13" t="s">
        <v>176</v>
      </c>
      <c r="L23" s="13" t="s">
        <v>95</v>
      </c>
    </row>
    <row r="24" spans="1:12" ht="23">
      <c r="A24" s="12" t="s">
        <v>170</v>
      </c>
      <c r="B24" s="12" t="s">
        <v>189</v>
      </c>
      <c r="C24" s="13" t="s">
        <v>190</v>
      </c>
      <c r="D24" s="13" t="s">
        <v>191</v>
      </c>
      <c r="E24" s="14">
        <v>5</v>
      </c>
      <c r="F24" s="13" t="s">
        <v>192</v>
      </c>
      <c r="G24" s="14">
        <v>7</v>
      </c>
      <c r="H24" s="13" t="s">
        <v>193</v>
      </c>
      <c r="I24" s="14">
        <v>2</v>
      </c>
      <c r="J24" s="14">
        <f t="shared" si="0"/>
        <v>70</v>
      </c>
      <c r="K24" s="13" t="s">
        <v>194</v>
      </c>
      <c r="L24" s="13" t="s">
        <v>96</v>
      </c>
    </row>
    <row r="25" spans="1:12" ht="46">
      <c r="A25" s="12" t="s">
        <v>195</v>
      </c>
      <c r="B25" s="12" t="s">
        <v>196</v>
      </c>
      <c r="C25" s="13" t="s">
        <v>197</v>
      </c>
      <c r="D25" s="13" t="s">
        <v>198</v>
      </c>
      <c r="E25" s="14">
        <v>10</v>
      </c>
      <c r="F25" s="13" t="s">
        <v>199</v>
      </c>
      <c r="G25" s="14">
        <v>4</v>
      </c>
      <c r="H25" s="13" t="s">
        <v>200</v>
      </c>
      <c r="I25" s="14">
        <v>3</v>
      </c>
      <c r="J25" s="14">
        <f t="shared" si="0"/>
        <v>120</v>
      </c>
      <c r="K25" s="13" t="s">
        <v>201</v>
      </c>
      <c r="L25" s="13" t="s">
        <v>95</v>
      </c>
    </row>
    <row r="26" spans="1:12" ht="46">
      <c r="A26" s="12" t="s">
        <v>202</v>
      </c>
      <c r="B26" s="12" t="s">
        <v>203</v>
      </c>
      <c r="C26" s="13" t="s">
        <v>204</v>
      </c>
      <c r="D26" s="13" t="s">
        <v>167</v>
      </c>
      <c r="E26" s="14">
        <v>8</v>
      </c>
      <c r="F26" s="13" t="s">
        <v>205</v>
      </c>
      <c r="G26" s="14">
        <v>6</v>
      </c>
      <c r="H26" s="13" t="s">
        <v>236</v>
      </c>
      <c r="I26" s="14">
        <v>5</v>
      </c>
      <c r="J26" s="14">
        <f t="shared" si="0"/>
        <v>240</v>
      </c>
      <c r="K26" s="13" t="s">
        <v>206</v>
      </c>
      <c r="L26" s="13" t="s">
        <v>233</v>
      </c>
    </row>
    <row r="27" spans="1:12" ht="46">
      <c r="A27" s="12" t="s">
        <v>202</v>
      </c>
      <c r="B27" s="12" t="s">
        <v>203</v>
      </c>
      <c r="C27" s="13" t="s">
        <v>204</v>
      </c>
      <c r="D27" s="13" t="s">
        <v>209</v>
      </c>
      <c r="E27" s="14">
        <v>9</v>
      </c>
      <c r="F27" s="13" t="s">
        <v>235</v>
      </c>
      <c r="G27" s="14">
        <v>7</v>
      </c>
      <c r="H27" s="13" t="s">
        <v>236</v>
      </c>
      <c r="I27" s="14">
        <v>5</v>
      </c>
      <c r="J27" s="14">
        <f t="shared" si="0"/>
        <v>315</v>
      </c>
      <c r="K27" s="13" t="s">
        <v>206</v>
      </c>
      <c r="L27" s="13" t="s">
        <v>233</v>
      </c>
    </row>
    <row r="28" spans="1:12" ht="46">
      <c r="A28" s="12" t="s">
        <v>202</v>
      </c>
      <c r="B28" s="12" t="s">
        <v>207</v>
      </c>
      <c r="C28" s="13" t="s">
        <v>208</v>
      </c>
      <c r="D28" s="13" t="s">
        <v>209</v>
      </c>
      <c r="E28" s="14">
        <v>9</v>
      </c>
      <c r="F28" s="13" t="s">
        <v>210</v>
      </c>
      <c r="G28" s="14">
        <v>7</v>
      </c>
      <c r="H28" s="13" t="s">
        <v>176</v>
      </c>
      <c r="I28" s="14">
        <v>3</v>
      </c>
      <c r="J28" s="14">
        <f t="shared" si="0"/>
        <v>189</v>
      </c>
      <c r="K28" s="13" t="s">
        <v>175</v>
      </c>
      <c r="L28" s="13" t="s">
        <v>95</v>
      </c>
    </row>
    <row r="29" spans="1:12" ht="34.5">
      <c r="A29" s="12" t="s">
        <v>211</v>
      </c>
      <c r="B29" s="12" t="s">
        <v>212</v>
      </c>
      <c r="C29" s="13" t="s">
        <v>213</v>
      </c>
      <c r="D29" s="13" t="s">
        <v>214</v>
      </c>
      <c r="E29" s="14">
        <v>7</v>
      </c>
      <c r="F29" s="13" t="s">
        <v>215</v>
      </c>
      <c r="G29" s="14">
        <v>8</v>
      </c>
      <c r="H29" s="13" t="s">
        <v>216</v>
      </c>
      <c r="I29" s="14">
        <v>2</v>
      </c>
      <c r="J29" s="14">
        <f t="shared" si="0"/>
        <v>112</v>
      </c>
      <c r="K29" s="13" t="s">
        <v>217</v>
      </c>
      <c r="L29" s="13" t="s">
        <v>95</v>
      </c>
    </row>
    <row r="30" spans="1:12" ht="46">
      <c r="A30" s="12" t="s">
        <v>211</v>
      </c>
      <c r="B30" s="12" t="s">
        <v>212</v>
      </c>
      <c r="C30" s="13" t="s">
        <v>218</v>
      </c>
      <c r="D30" s="13" t="s">
        <v>219</v>
      </c>
      <c r="E30" s="14">
        <v>3</v>
      </c>
      <c r="F30" s="13" t="s">
        <v>220</v>
      </c>
      <c r="G30" s="14">
        <v>8</v>
      </c>
      <c r="H30" s="13" t="s">
        <v>221</v>
      </c>
      <c r="I30" s="14">
        <v>2</v>
      </c>
      <c r="J30" s="14">
        <f t="shared" si="0"/>
        <v>48</v>
      </c>
      <c r="K30" s="13" t="s">
        <v>222</v>
      </c>
      <c r="L30" s="13" t="s">
        <v>95</v>
      </c>
    </row>
    <row r="31" spans="1:12" ht="46">
      <c r="A31" s="12" t="s">
        <v>211</v>
      </c>
      <c r="B31" s="12" t="s">
        <v>223</v>
      </c>
      <c r="C31" s="13" t="s">
        <v>224</v>
      </c>
      <c r="D31" s="13" t="s">
        <v>225</v>
      </c>
      <c r="E31" s="14">
        <v>7</v>
      </c>
      <c r="F31" s="13" t="s">
        <v>226</v>
      </c>
      <c r="G31" s="14">
        <v>5</v>
      </c>
      <c r="H31" s="13" t="s">
        <v>227</v>
      </c>
      <c r="I31" s="14">
        <v>3</v>
      </c>
      <c r="J31" s="14">
        <f t="shared" si="0"/>
        <v>105</v>
      </c>
      <c r="K31" s="13" t="s">
        <v>123</v>
      </c>
      <c r="L31" s="13" t="s">
        <v>95</v>
      </c>
    </row>
    <row r="32" spans="1:12" ht="23">
      <c r="A32" s="12" t="s">
        <v>211</v>
      </c>
      <c r="B32" s="12" t="s">
        <v>223</v>
      </c>
      <c r="C32" s="13" t="s">
        <v>228</v>
      </c>
      <c r="D32" s="13" t="s">
        <v>229</v>
      </c>
      <c r="E32" s="14">
        <v>4</v>
      </c>
      <c r="F32" s="13" t="s">
        <v>230</v>
      </c>
      <c r="G32" s="14">
        <v>6</v>
      </c>
      <c r="H32" s="13" t="s">
        <v>181</v>
      </c>
      <c r="I32" s="14">
        <v>4</v>
      </c>
      <c r="J32" s="14">
        <f t="shared" si="0"/>
        <v>96</v>
      </c>
      <c r="K32" s="13" t="s">
        <v>182</v>
      </c>
      <c r="L32" s="13" t="s">
        <v>95</v>
      </c>
    </row>
  </sheetData>
  <autoFilter ref="C4:L32" xr:uid="{D1A94129-40A2-44C7-B06A-99A17CC1D295}"/>
  <mergeCells count="4">
    <mergeCell ref="A2:B2"/>
    <mergeCell ref="C2:E2"/>
    <mergeCell ref="F2:G2"/>
    <mergeCell ref="H2:L2"/>
  </mergeCells>
  <conditionalFormatting sqref="J1 J3:J1048576">
    <cfRule type="cellIs" dxfId="4" priority="1" operator="between">
      <formula>1</formula>
      <formula>9</formula>
    </cfRule>
    <cfRule type="cellIs" dxfId="3" priority="2" operator="between">
      <formula>1</formula>
      <formula>9</formula>
    </cfRule>
    <cfRule type="cellIs" dxfId="2" priority="3" operator="between">
      <formula>10</formula>
      <formula>124</formula>
    </cfRule>
    <cfRule type="cellIs" dxfId="1" priority="4" operator="between">
      <formula>125</formula>
      <formula>499</formula>
    </cfRule>
    <cfRule type="cellIs" dxfId="0" priority="5" operator="between">
      <formula>500</formula>
      <formula>1000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00D15403517347BFCC7BEE816B18F5" ma:contentTypeVersion="10" ma:contentTypeDescription="Crear nuevo documento." ma:contentTypeScope="" ma:versionID="0c32dd1c78c32883e2be75803a5ce93a">
  <xsd:schema xmlns:xsd="http://www.w3.org/2001/XMLSchema" xmlns:xs="http://www.w3.org/2001/XMLSchema" xmlns:p="http://schemas.microsoft.com/office/2006/metadata/properties" xmlns:ns2="299da364-5bd6-4856-b54f-296f95f3dc71" xmlns:ns3="b593fc4c-2af5-4cc2-b6db-90e9851bf100" xmlns:ns4="7fe59f34-55a4-4ccc-9a2c-36cfcecf2037" targetNamespace="http://schemas.microsoft.com/office/2006/metadata/properties" ma:root="true" ma:fieldsID="26f70861ee05eb5a0a686bed56820165" ns2:_="" ns3:_="" ns4:_="">
    <xsd:import namespace="299da364-5bd6-4856-b54f-296f95f3dc71"/>
    <xsd:import namespace="b593fc4c-2af5-4cc2-b6db-90e9851bf100"/>
    <xsd:import namespace="7fe59f34-55a4-4ccc-9a2c-36cfcecf20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da364-5bd6-4856-b54f-296f95f3dc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3fc4c-2af5-4cc2-b6db-90e9851bf100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59f34-55a4-4ccc-9a2c-36cfcecf20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D176CA-D60D-4C6B-9357-B515981BD9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C243D-74E5-4C90-A7EA-1858FEC01C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9da364-5bd6-4856-b54f-296f95f3dc71"/>
    <ds:schemaRef ds:uri="b593fc4c-2af5-4cc2-b6db-90e9851bf100"/>
    <ds:schemaRef ds:uri="7fe59f34-55a4-4ccc-9a2c-36cfcecf20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DD062B-0168-4311-840A-28E54109944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Escalas AMEF</vt:lpstr>
      <vt:lpstr>Matriz de Riesgos</vt:lpstr>
    </vt:vector>
  </TitlesOfParts>
  <Manager/>
  <Company>Universidad de los Andes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Norma Rocio Hendez Puerto</dc:creator>
  <cp:keywords/>
  <dc:description/>
  <cp:lastModifiedBy>Maria Fernanda Gonzalez Zuluaga</cp:lastModifiedBy>
  <cp:revision/>
  <dcterms:created xsi:type="dcterms:W3CDTF">2021-07-07T14:02:37Z</dcterms:created>
  <dcterms:modified xsi:type="dcterms:W3CDTF">2026-09-09T21:02:18Z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0x0101009200D15403517347BFCC7BEE816B18F5</vt:lpwstr>
  </property>
</Properties>
</file>